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236ecae864c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4" r:id="R8b62d22c8e2349f2"/>
    <x:sheet xmlns:r="http://schemas.openxmlformats.org/officeDocument/2006/relationships" name="Sheet1" sheetId="5" r:id="Rebc6f7f5a7e441c9"/>
  </x:sheets>
</x:workbook>
</file>

<file path=xl/sharedStrings.xml><?xml version="1.0" encoding="utf-8"?>
<x:sst xmlns:x="http://schemas.openxmlformats.org/spreadsheetml/2006/main">
  <x:si>
    <x:t xml:space="preserve">Project  Period  1</x:t>
  </x:si>
  <x:si>
    <x:t xml:space="preserve">Total</x:t>
  </x:si>
  <x:si>
    <x:t xml:space="preserve">12 months</x:t>
  </x:si>
  <x:si>
    <x:t xml:space="preserve">7/1/26-6/30/27</x:t>
  </x:si>
  <x:si>
    <x:t xml:space="preserve">Salary</x:t>
  </x:si>
  <x:si>
    <x:t xml:space="preserve">Xiang Cheng</x:t>
  </x:si>
  <x:si>
    <x:t xml:space="preserve">XC</x:t>
  </x:si>
  <x:si>
    <x:t xml:space="preserve">TBN Graduate Student </x:t>
  </x:si>
  <x:si>
    <x:t xml:space="preserve">GRA</x:t>
  </x:si>
  <x:si>
    <x:t xml:space="preserve">Fringe - XC</x:t>
  </x:si>
  <x:si>
    <x:t xml:space="preserve">Fringe - GRA</x:t>
  </x:si>
  <x:si>
    <x:t xml:space="preserve">TOTAL SALARY AND FRINGE</x:t>
  </x:si>
  <x:si>
    <x:t xml:space="preserve">Equipment</x:t>
  </x:si>
  <x:si>
    <x:t xml:space="preserve">Supplies</x:t>
  </x:si>
  <x:si>
    <x:t xml:space="preserve">Travel</x:t>
  </x:si>
  <x:si>
    <x:t xml:space="preserve">Tuition Remission</x:t>
  </x:si>
  <x:si>
    <x:t xml:space="preserve">Duke Direct Cost Total</x:t>
  </x:si>
  <x:si>
    <x:t xml:space="preserve">Subcontracts</x:t>
  </x:si>
  <x:si>
    <x:t xml:space="preserve">N/A</x:t>
  </x:si>
  <x:si>
    <x:t xml:space="preserve">Total Direct Cost</x:t>
  </x:si>
  <x:si>
    <x:t xml:space="preserve">MTDC</x:t>
  </x:si>
  <x:si>
    <x:t xml:space="preserve">IDC</x:t>
  </x:si>
  <x:si>
    <x:t xml:space="preserve">DUKE IDC on First 50K for each Sub, Part of Duke's Total Costs</x:t>
  </x:si>
  <x:si>
    <x:t xml:space="preserve">TOTAL Direct and IDC</x:t>
  </x:si>
  <x:si>
    <x:t xml:space="preserve">GRA Stipends (8/1 rate change)</x:t>
  </x:si>
  <x:si>
    <x:t xml:space="preserve">9/1/26-8/31/27</x:t>
  </x:si>
  <x:si>
    <x:t xml:space="preserve">8/1/27-7/31/28</x:t>
  </x:si>
  <x:si>
    <x:t xml:space="preserve">8/1/28-7/31/29</x:t>
  </x:si>
  <x:si>
    <x:t xml:space="preserve">8/1/29-7/31/30</x:t>
  </x:si>
  <x:si>
    <x:t xml:space="preserve">8/1/30-7/31/31</x:t>
  </x:si>
  <x:si>
    <x:t xml:space="preserve">GRA Tuition  (9/1 rate change)</x:t>
  </x:si>
  <x:si>
    <x:t xml:space="preserve">9/1/27-8/31/28</x:t>
  </x:si>
  <x:si>
    <x:t xml:space="preserve">9/1/28-8/31/29</x:t>
  </x:si>
  <x:si>
    <x:t xml:space="preserve">9/1/29-8/31/30</x:t>
  </x:si>
  <x:si>
    <x:t xml:space="preserve">9/1/30-8/31/31</x:t>
  </x:si>
</x:sst>
</file>

<file path=xl/styles.xml><?xml version="1.0" encoding="utf-8"?>
<x:styleSheet xmlns:x="http://schemas.openxmlformats.org/spreadsheetml/2006/main">
  <x:numFmts count="5">
    <x:numFmt numFmtId="43" formatCode="_(* #,##0.00_);_(* \(#,##0.00\);_(* &quot;-&quot;??_);_(@_)"/>
    <x:numFmt numFmtId="164" formatCode="\$#,##0\ ;&quot;($&quot;#,##0\)"/>
    <x:numFmt numFmtId="165" formatCode="0.0%"/>
    <x:numFmt numFmtId="166" formatCode="_(* #,##0_);_(* \(#,##0\);_(* &quot;-&quot;??_);_(@_)"/>
    <x:numFmt numFmtId="167" formatCode="_(* #,##0.000_);_(* \(#,##0.000\);_(* &quot;-&quot;??_);_(@_)"/>
  </x:numFmts>
  <x:fonts count="7">
    <x:font>
      <x:sz val="11"/>
      <x:color theme="1"/>
      <x:name val="Calibri"/>
    </x:font>
    <x:font>
      <x:b/>
      <x:sz val="11"/>
      <x:color theme="1"/>
      <x:name val="Calibri"/>
    </x:font>
    <x:font>
      <x:sz val="11"/>
      <x:name val="Times New Roman"/>
    </x:font>
    <x:font>
      <x:b/>
      <x:sz val="11"/>
      <x:name val="Times New Roman"/>
    </x:font>
    <x:font>
      <x:b/>
      <x:sz val="11"/>
      <x:color theme="1"/>
      <x:name val="Calibri"/>
    </x:font>
    <x:font>
      <x:sz val="11"/>
      <x:name val="Calibri"/>
    </x:font>
    <x:font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0.04999"/>
      </x:patternFill>
    </x:fill>
    <x:fill>
      <x:patternFill patternType="solid">
        <x:fgColor theme="3" tint="0.79998"/>
      </x:patternFill>
    </x:fill>
  </x:fills>
  <x:borders count="21">
    <x:border/>
    <x:border>
      <x:left style="dashed">
        <x:color theme="0" tint="-0.14994"/>
      </x:left>
      <x:right style="dashed">
        <x:color theme="0" tint="-0.14994"/>
      </x:right>
      <x:top style="dashed">
        <x:color theme="0" tint="-0.14994"/>
      </x:top>
      <x:bottom style="dashed">
        <x:color theme="0" tint="-0.14994"/>
      </x:bottom>
    </x:border>
    <x:border>
      <x:left style="dashed">
        <x:color theme="0" tint="-0.34999"/>
      </x:left>
      <x:right style="dashed">
        <x:color theme="0" tint="-0.34999"/>
      </x:right>
      <x:bottom style="dashed">
        <x:color theme="0" tint="-0.34999"/>
      </x:bottom>
    </x:border>
    <x:border>
      <x:left style="dashed">
        <x:color theme="0" tint="-0.34999"/>
      </x:left>
      <x:right style="dashed">
        <x:color theme="0" tint="-0.34999"/>
      </x:right>
      <x:top style="dashed">
        <x:color theme="0" tint="-0.34999"/>
      </x:top>
      <x:bottom style="dashed">
        <x:color theme="0" tint="-0.34999"/>
      </x:bottom>
    </x:border>
    <x:border>
      <x:left style="thin">
        <x:color theme="0" tint="-0.14997"/>
      </x:left>
      <x:right style="thin">
        <x:color theme="0" tint="-0.14997"/>
      </x:right>
      <x:top style="thin">
        <x:color theme="0" tint="-0.14997"/>
      </x:top>
      <x:bottom style="thin">
        <x:color theme="0" tint="-0.14997"/>
      </x:bottom>
    </x:border>
    <x:border>
      <x:left style="dashed">
        <x:color theme="0" tint="-0.34999"/>
      </x:left>
      <x:right style="dashed">
        <x:color theme="0" tint="-0.34999"/>
      </x:right>
      <x:top style="dashed">
        <x:color theme="0" tint="-0.34999"/>
      </x:top>
    </x:border>
    <x:border>
      <x:left style="dashed">
        <x:color theme="0" tint="-0.34999"/>
      </x:left>
      <x:right style="dashed">
        <x:color theme="0" tint="-0.34999"/>
      </x:right>
      <x:top style="double">
        <x:color theme="0" tint="-0.34999"/>
      </x:top>
      <x:bottom style="double">
        <x:color theme="0" tint="-0.34999"/>
      </x:bottom>
    </x:border>
    <x:border>
      <x:left style="dashed">
        <x:color theme="0" tint="-0.34999"/>
      </x:left>
      <x:right style="dashed">
        <x:color theme="0" tint="-0.34999"/>
      </x:right>
    </x:border>
    <x:border>
      <x:left style="thin">
        <x:color indexed="64"/>
      </x:left>
      <x:right style="dashed">
        <x:color theme="0" tint="-0.34999"/>
      </x:right>
      <x:top style="thin">
        <x:color indexed="64"/>
      </x:top>
      <x:bottom style="dashed">
        <x:color theme="0" tint="-0.34999"/>
      </x:bottom>
    </x:border>
    <x:border>
      <x:left style="dashed">
        <x:color theme="0" tint="-0.34999"/>
      </x:left>
      <x:right style="dashed">
        <x:color theme="0" tint="-0.34999"/>
      </x:right>
      <x:top style="thin">
        <x:color indexed="64"/>
      </x:top>
      <x:bottom style="dashed">
        <x:color theme="0" tint="-0.34999"/>
      </x:bottom>
    </x:border>
    <x:border>
      <x:left style="double">
        <x:color theme="0" tint="-0.34999"/>
      </x:left>
      <x:right style="thin">
        <x:color indexed="64"/>
      </x:right>
      <x:top style="thin">
        <x:color indexed="64"/>
      </x:top>
      <x:bottom style="dashed">
        <x:color theme="0" tint="-0.34999"/>
      </x:bottom>
    </x:border>
    <x:border>
      <x:left style="thin">
        <x:color indexed="64"/>
      </x:left>
      <x:right style="dashed">
        <x:color theme="0" tint="-0.34999"/>
      </x:right>
      <x:top style="dashed">
        <x:color theme="0" tint="-0.34999"/>
      </x:top>
      <x:bottom style="dashed">
        <x:color theme="0" tint="-0.34999"/>
      </x:bottom>
    </x:border>
    <x:border>
      <x:left style="double">
        <x:color theme="0" tint="-0.34999"/>
      </x:left>
      <x:right style="thin">
        <x:color indexed="64"/>
      </x:right>
      <x:top style="dashed">
        <x:color theme="0" tint="-0.34999"/>
      </x:top>
      <x:bottom style="dashed">
        <x:color theme="0" tint="-0.34999"/>
      </x:bottom>
    </x:border>
    <x:border>
      <x:left style="thin">
        <x:color indexed="64"/>
      </x:left>
      <x:right style="dashed">
        <x:color theme="0" tint="-0.34999"/>
      </x:right>
      <x:top style="double">
        <x:color theme="0" tint="-0.34999"/>
      </x:top>
      <x:bottom style="double">
        <x:color theme="0" tint="-0.34999"/>
      </x:bottom>
    </x:border>
    <x:border>
      <x:left style="double">
        <x:color theme="0" tint="-0.34999"/>
      </x:left>
      <x:right style="thin">
        <x:color indexed="64"/>
      </x:right>
      <x:top style="double">
        <x:color theme="0" tint="-0.34999"/>
      </x:top>
      <x:bottom style="double">
        <x:color theme="0" tint="-0.34999"/>
      </x:bottom>
    </x:border>
    <x:border>
      <x:left style="thin">
        <x:color indexed="64"/>
      </x:left>
      <x:right style="dashed">
        <x:color theme="0" tint="-0.34999"/>
      </x:right>
      <x:bottom style="dashed">
        <x:color theme="0" tint="-0.34999"/>
      </x:bottom>
    </x:border>
    <x:border>
      <x:left style="double">
        <x:color theme="0" tint="-0.34999"/>
      </x:left>
      <x:right style="thin">
        <x:color indexed="64"/>
      </x:right>
      <x:bottom style="dashed">
        <x:color theme="0" tint="-0.34999"/>
      </x:bottom>
    </x:border>
    <x:border>
      <x:left style="thin">
        <x:color indexed="64"/>
      </x:left>
      <x:right style="dashed">
        <x:color theme="0" tint="-0.34999"/>
      </x:right>
      <x:top style="dashed">
        <x:color theme="0" tint="-0.34999"/>
      </x:top>
    </x:border>
    <x:border>
      <x:left style="thin">
        <x:color indexed="64"/>
      </x:left>
      <x:right style="dashed">
        <x:color theme="0" tint="-0.34999"/>
      </x:right>
      <x:top style="double">
        <x:color theme="0" tint="-0.34999"/>
      </x:top>
      <x:bottom style="thin">
        <x:color indexed="64"/>
      </x:bottom>
    </x:border>
    <x:border>
      <x:left style="dashed">
        <x:color theme="0" tint="-0.34999"/>
      </x:left>
      <x:right style="dashed">
        <x:color theme="0" tint="-0.34999"/>
      </x:right>
      <x:top style="double">
        <x:color theme="0" tint="-0.34999"/>
      </x:top>
      <x:bottom style="thin">
        <x:color indexed="64"/>
      </x:bottom>
    </x:border>
    <x:border>
      <x:left style="double">
        <x:color theme="0" tint="-0.34999"/>
      </x:left>
      <x:right style="thin">
        <x:color indexed="64"/>
      </x:right>
      <x:top style="double">
        <x:color theme="0" tint="-0.34999"/>
      </x:top>
      <x:bottom style="thin">
        <x:color indexed="64"/>
      </x:bottom>
    </x:border>
  </x:borders>
  <x:cellStyleXfs count="3">
    <x:xf numFmtId="0" fontId="0" fillId="0" borderId="0"/>
    <x:xf numFmtId="43" fontId="6" fillId="0" borderId="0" applyFont="0" applyFill="0" applyBorder="0" applyAlignment="0" applyProtection="0"/>
    <x:xf numFmtId="9" fontId="6" fillId="0" borderId="0" applyFont="0" applyFill="0" applyBorder="0" applyAlignment="0" applyProtection="0"/>
  </x:cellStyleXfs>
  <x:cellXfs count="66">
    <x:xf numFmtId="0" fontId="0" fillId="0" borderId="0" xfId="0"/>
    <x:xf numFmtId="4" fontId="1" fillId="0" borderId="6" xfId="0" applyNumberFormat="1" applyFont="1" applyBorder="1" applyAlignment="1">
      <x:alignment horizontal="center"/>
    </x:xf>
    <x:xf numFmtId="4" fontId="1" fillId="0" borderId="0" xfId="0" applyNumberFormat="1" applyFont="1" applyAlignment="1">
      <x:alignment horizontal="center"/>
    </x:xf>
    <x:xf numFmtId="0" fontId="2" fillId="0" borderId="1" xfId="0" applyFont="1" applyBorder="1"/>
    <x:xf numFmtId="0" fontId="0" fillId="0" borderId="3" xfId="0" applyBorder="1" applyAlignment="1">
      <x:alignment horizontal="center" wrapText="1"/>
    </x:xf>
    <x:xf numFmtId="0" fontId="2" fillId="0" borderId="3" xfId="0" applyFont="1" applyBorder="1" applyAlignment="1">
      <x:alignment horizontal="center"/>
    </x:xf>
    <x:xf numFmtId="0" fontId="2" fillId="0" borderId="4" xfId="0" applyFont="1" applyBorder="1" applyAlignment="1">
      <x:alignment horizontal="center"/>
    </x:xf>
    <x:xf numFmtId="164" fontId="2" fillId="0" borderId="3" xfId="0" applyNumberFormat="1" applyFont="1" applyBorder="1" applyAlignment="1">
      <x:alignment horizontal="center"/>
    </x:xf>
    <x:xf numFmtId="164" fontId="2" fillId="0" borderId="4" xfId="0" applyNumberFormat="1" applyFont="1" applyBorder="1" applyAlignment="1">
      <x:alignment horizontal="center"/>
    </x:xf>
    <x:xf numFmtId="4" fontId="2" fillId="2" borderId="3" xfId="0" applyNumberFormat="1" applyFont="1" applyFill="1" applyBorder="1" applyAlignment="1">
      <x:alignment horizontal="center"/>
    </x:xf>
    <x:xf numFmtId="4" fontId="0" fillId="0" borderId="3" xfId="0" applyNumberFormat="1" applyBorder="1" applyAlignment="1">
      <x:alignment horizontal="center" wrapText="1"/>
    </x:xf>
    <x:xf numFmtId="4" fontId="2" fillId="2" borderId="4" xfId="0" applyNumberFormat="1" applyFont="1" applyFill="1" applyBorder="1" applyAlignment="1">
      <x:alignment horizontal="center"/>
    </x:xf>
    <x:xf numFmtId="4" fontId="0" fillId="0" borderId="0" xfId="0" applyNumberFormat="1" applyAlignment="1">
      <x:alignment horizontal="center"/>
    </x:xf>
    <x:xf numFmtId="4" fontId="2" fillId="2" borderId="3" xfId="0" applyNumberFormat="1" applyFont="1" applyFill="1" applyBorder="1" applyAlignment="1">
      <x:alignment horizontal="left"/>
    </x:xf>
    <x:xf numFmtId="4" fontId="0" fillId="0" borderId="3" xfId="0" applyNumberFormat="1" applyBorder="1" applyAlignment="1">
      <x:alignment horizontal="center"/>
    </x:xf>
    <x:xf numFmtId="2" fontId="0" fillId="0" borderId="0" xfId="0" applyNumberFormat="1"/>
    <x:xf numFmtId="10" fontId="2" fillId="2" borderId="3" xfId="0" applyNumberFormat="1" applyFont="1" applyFill="1" applyBorder="1" applyAlignment="1">
      <x:alignment horizontal="center"/>
    </x:xf>
    <x:xf numFmtId="10" fontId="2" fillId="0" borderId="6" xfId="0" applyNumberFormat="1" applyFont="1" applyBorder="1" applyAlignment="1">
      <x:alignment horizontal="center"/>
    </x:xf>
    <x:xf numFmtId="4" fontId="0" fillId="0" borderId="6" xfId="0" applyNumberFormat="1" applyBorder="1" applyAlignment="1">
      <x:alignment horizontal="center"/>
    </x:xf>
    <x:xf numFmtId="10" fontId="2" fillId="0" borderId="2" xfId="0" applyNumberFormat="1" applyFont="1" applyBorder="1" applyAlignment="1">
      <x:alignment horizontal="center"/>
    </x:xf>
    <x:xf numFmtId="4" fontId="0" fillId="0" borderId="2" xfId="0" applyNumberFormat="1" applyBorder="1" applyAlignment="1">
      <x:alignment horizontal="center"/>
    </x:xf>
    <x:xf numFmtId="0" fontId="2" fillId="0" borderId="0" xfId="0" applyFont="1" applyAlignment="1">
      <x:alignment horizontal="center"/>
    </x:xf>
    <x:xf numFmtId="164" fontId="2" fillId="0" borderId="5" xfId="0" applyNumberFormat="1" applyFont="1" applyBorder="1" applyAlignment="1">
      <x:alignment horizontal="center"/>
    </x:xf>
    <x:xf numFmtId="4" fontId="0" fillId="0" borderId="5" xfId="0" applyNumberFormat="1" applyBorder="1" applyAlignment="1">
      <x:alignment horizontal="center"/>
    </x:xf>
    <x:xf numFmtId="10" fontId="2" fillId="2" borderId="5" xfId="0" applyNumberFormat="1" applyFont="1" applyFill="1" applyBorder="1" applyAlignment="1">
      <x:alignment horizontal="center"/>
    </x:xf>
    <x:xf numFmtId="164" fontId="3" fillId="0" borderId="6" xfId="0" applyNumberFormat="1" applyFont="1" applyBorder="1" applyAlignment="1">
      <x:alignment horizontal="center"/>
    </x:xf>
    <x:xf numFmtId="164" fontId="2" fillId="0" borderId="2" xfId="0" applyNumberFormat="1" applyFont="1" applyBorder="1" applyAlignment="1">
      <x:alignment horizontal="center"/>
    </x:xf>
    <x:xf numFmtId="0" fontId="2" fillId="0" borderId="5" xfId="0" applyFont="1" applyBorder="1" applyAlignment="1">
      <x:alignment horizontal="center"/>
    </x:xf>
    <x:xf numFmtId="10" fontId="3" fillId="0" borderId="6" xfId="0" applyNumberFormat="1" applyFont="1" applyBorder="1" applyAlignment="1">
      <x:alignment horizontal="center"/>
    </x:xf>
    <x:xf numFmtId="0" fontId="0" fillId="0" borderId="0" xfId="0" applyAlignment="1">
      <x:alignment horizontal="center"/>
    </x:xf>
    <x:xf numFmtId="4" fontId="0" fillId="0" borderId="7" xfId="0" applyNumberFormat="1" applyBorder="1" applyAlignment="1">
      <x:alignment horizontal="center"/>
    </x:xf>
    <x:xf numFmtId="0" fontId="0" fillId="0" borderId="8" xfId="0" applyBorder="1"/>
    <x:xf numFmtId="0" fontId="2" fillId="0" borderId="9" xfId="0" applyFont="1" applyBorder="1" applyAlignment="1">
      <x:alignment horizontal="center"/>
    </x:xf>
    <x:xf numFmtId="0" fontId="0" fillId="0" borderId="9" xfId="0" applyBorder="1" applyAlignment="1">
      <x:alignment horizontal="center" wrapText="1"/>
    </x:xf>
    <x:xf numFmtId="0" fontId="0" fillId="3" borderId="10" xfId="0" applyFill="1" applyBorder="1" applyAlignment="1">
      <x:alignment horizontal="center" wrapText="1"/>
    </x:xf>
    <x:xf numFmtId="0" fontId="0" fillId="0" borderId="11" xfId="0" applyBorder="1"/>
    <x:xf numFmtId="0" fontId="0" fillId="3" borderId="12" xfId="0" applyFill="1" applyBorder="1" applyAlignment="1">
      <x:alignment horizontal="center" wrapText="1"/>
    </x:xf>
    <x:xf numFmtId="0" fontId="0" fillId="0" borderId="11" xfId="0" applyBorder="1" applyAlignment="1">
      <x:alignment horizontal="left"/>
    </x:xf>
    <x:xf numFmtId="4" fontId="0" fillId="3" borderId="12" xfId="0" applyNumberFormat="1" applyFill="1" applyBorder="1" applyAlignment="1">
      <x:alignment horizontal="center" wrapText="1"/>
    </x:xf>
    <x:xf numFmtId="0" fontId="0" fillId="0" borderId="13" xfId="0" applyBorder="1"/>
    <x:xf numFmtId="4" fontId="0" fillId="3" borderId="14" xfId="0" applyNumberFormat="1" applyFill="1" applyBorder="1" applyAlignment="1">
      <x:alignment horizontal="center" wrapText="1"/>
    </x:xf>
    <x:xf numFmtId="0" fontId="0" fillId="0" borderId="15" xfId="0" applyBorder="1"/>
    <x:xf numFmtId="4" fontId="0" fillId="3" borderId="16" xfId="0" applyNumberFormat="1" applyFill="1" applyBorder="1" applyAlignment="1">
      <x:alignment horizontal="center"/>
    </x:xf>
    <x:xf numFmtId="0" fontId="0" fillId="0" borderId="17" xfId="0" applyBorder="1"/>
    <x:xf numFmtId="0" fontId="1" fillId="0" borderId="13" xfId="0" applyFont="1" applyBorder="1"/>
    <x:xf numFmtId="4" fontId="1" fillId="3" borderId="14" xfId="0" applyNumberFormat="1" applyFont="1" applyFill="1" applyBorder="1" applyAlignment="1">
      <x:alignment horizontal="center" wrapText="1"/>
    </x:xf>
    <x:xf numFmtId="0" fontId="4" fillId="0" borderId="15" xfId="0" applyFont="1" applyBorder="1"/>
    <x:xf numFmtId="4" fontId="0" fillId="3" borderId="16" xfId="0" applyNumberFormat="1" applyFill="1" applyBorder="1" applyAlignment="1">
      <x:alignment horizontal="center" wrapText="1"/>
    </x:xf>
    <x:xf numFmtId="0" fontId="0" fillId="0" borderId="11" xfId="0" applyBorder="1" applyAlignment="1">
      <x:alignment wrapText="1"/>
    </x:xf>
    <x:xf numFmtId="4" fontId="0" fillId="3" borderId="12" xfId="0" applyNumberFormat="1" applyFill="1" applyBorder="1" applyAlignment="1">
      <x:alignment horizontal="center"/>
    </x:xf>
    <x:xf numFmtId="0" fontId="1" fillId="3" borderId="18" xfId="0" applyFont="1" applyFill="1" applyBorder="1"/>
    <x:xf numFmtId="10" fontId="3" fillId="3" borderId="19" xfId="0" applyNumberFormat="1" applyFont="1" applyFill="1" applyBorder="1"/>
    <x:xf numFmtId="4" fontId="1" fillId="3" borderId="19" xfId="0" applyNumberFormat="1" applyFont="1" applyFill="1" applyBorder="1" applyAlignment="1">
      <x:alignment horizontal="center"/>
    </x:xf>
    <x:xf numFmtId="4" fontId="1" fillId="3" borderId="20" xfId="0" applyNumberFormat="1" applyFont="1" applyFill="1" applyBorder="1" applyAlignment="1">
      <x:alignment horizontal="center"/>
    </x:xf>
    <x:xf numFmtId="0" fontId="5" fillId="0" borderId="3" xfId="0" applyFont="1" applyBorder="1" applyAlignment="1">
      <x:alignment horizontal="center" wrapText="1"/>
    </x:xf>
    <x:xf numFmtId="0" fontId="5" fillId="3" borderId="12" xfId="0" applyFont="1" applyFill="1" applyBorder="1" applyAlignment="1">
      <x:alignment horizontal="center" wrapText="1"/>
    </x:xf>
    <x:xf numFmtId="165" fontId="2" fillId="2" borderId="3" xfId="0" applyNumberFormat="1" applyFont="1" applyFill="1" applyBorder="1" applyAlignment="1">
      <x:alignment horizontal="center"/>
    </x:xf>
    <x:xf numFmtId="0" fontId="1" fillId="0" borderId="0" xfId="0" applyFont="1"/>
    <x:xf numFmtId="43" fontId="0" fillId="0" borderId="0" xfId="1" applyFont="1"/>
    <x:xf numFmtId="10" fontId="0" fillId="0" borderId="0" xfId="2" applyNumberFormat="1" applyFont="1"/>
    <x:xf numFmtId="166" fontId="0" fillId="0" borderId="0" xfId="1" applyNumberFormat="1" applyFont="1"/>
    <x:xf numFmtId="0" fontId="5" fillId="0" borderId="0" xfId="0" applyFont="1"/>
    <x:xf numFmtId="166" fontId="0" fillId="0" borderId="0" xfId="0" applyNumberFormat="1"/>
    <x:xf numFmtId="167" fontId="0" fillId="0" borderId="0" xfId="0" applyNumberFormat="1"/>
    <x:xf numFmtId="166" fontId="5" fillId="0" borderId="0" xfId="1" applyNumberFormat="1" applyFont="1"/>
    <x:xf numFmtId="10" fontId="5" fillId="0" borderId="0" xfId="2" applyNumberFormat="1" applyFont="1"/>
  </x:cellXfs>
  <x:cellStyles count="3">
    <x:cellStyle name="Comma" xfId="1"/>
    <x:cellStyle name="Normal" xfId="0"/>
    <x:cellStyle name="Percent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e6d99564a548fa" /><Relationship Type="http://schemas.openxmlformats.org/officeDocument/2006/relationships/theme" Target="/xl/theme/theme1.xml" Id="Rba7dbde249874de4" /><Relationship Type="http://schemas.openxmlformats.org/officeDocument/2006/relationships/sharedStrings" Target="/xl/sharedStrings.xml" Id="Rc9904225bab94ec4" /><Relationship Type="http://schemas.openxmlformats.org/officeDocument/2006/relationships/worksheet" Target="/xl/worksheets/sheet1.xml" Id="R8b62d22c8e2349f2" /><Relationship Type="http://schemas.openxmlformats.org/officeDocument/2006/relationships/worksheet" Target="/xl/worksheets/sheet2.xml" Id="Rebc6f7f5a7e441c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88671875" defaultRowHeight="14.399999618530273"/>
  <x:cols>
    <x:col min="1" max="1" width="30.109375" customWidth="1"/>
    <x:col min="2" max="2" width="7.44140625" style="21" customWidth="1"/>
    <x:col min="3" max="3" width="16" customWidth="1"/>
    <x:col min="4" max="4" width="14.33203125" style="29" customWidth="1"/>
    <x:col min="5" max="5" width="11.109375" customWidth="1"/>
    <x:col min="6" max="6" width="4.6640625" customWidth="1"/>
    <x:col min="7" max="7" width="10.33203125" style="21" customWidth="1"/>
  </x:cols>
  <x:sheetData>
    <x:row r="1">
      <x:c r="A1" s="31"/>
      <x:c r="B1" s="32"/>
      <x:c r="C1" s="33" t="s">
        <x:v>0</x:v>
      </x:c>
      <x:c r="D1" s="34" t="s">
        <x:v>1</x:v>
      </x:c>
      <x:c r="G1" s="3"/>
    </x:row>
    <x:row r="2">
      <x:c r="A2" s="35"/>
      <x:c r="B2" s="5"/>
      <x:c r="C2" s="4" t="s">
        <x:v>2</x:v>
      </x:c>
      <x:c r="D2" s="36" t="s">
        <x:v>2</x:v>
      </x:c>
      <x:c r="G2" s="3"/>
    </x:row>
    <x:row r="3">
      <x:c r="A3" s="35"/>
      <x:c r="B3" s="5"/>
      <x:c r="C3" s="54" t="s">
        <x:v>3</x:v>
      </x:c>
      <x:c r="D3" s="55" t="s">
        <x:v>3</x:v>
      </x:c>
      <x:c r="G3" s="6"/>
    </x:row>
    <x:row r="4">
      <x:c r="A4" s="37" t="s">
        <x:v>4</x:v>
      </x:c>
      <x:c r="B4" s="7"/>
      <x:c r="C4" s="4"/>
      <x:c r="D4" s="36"/>
      <x:c r="G4" s="8"/>
    </x:row>
    <x:row r="5">
      <x:c r="A5" s="37" t="s">
        <x:v>5</x:v>
      </x:c>
      <x:c r="B5" s="9" t="n">
        <x:v>0.5</x:v>
      </x:c>
      <x:c r="C5" s="10" t="n">
        <x:f>ROUND((G5/9*B5),0)</x:f>
        <x:v>7944</x:v>
      </x:c>
      <x:c r="D5" s="38" t="n">
        <x:f>C5</x:f>
        <x:v>7944</x:v>
      </x:c>
      <x:c r="F5" t="s">
        <x:v>6</x:v>
      </x:c>
      <x:c r="G5" s="11">
        <x:v>143000</x:v>
      </x:c>
    </x:row>
    <x:row r="6">
      <x:c r="A6" s="35" t="s">
        <x:v>7</x:v>
      </x:c>
      <x:c r="B6" s="9">
        <x:v>12</x:v>
      </x:c>
      <x:c r="C6" s="10" t="n">
        <x:f t="shared" ref="C6" si="0">ROUND((G6/12*B6),0)</x:f>
        <x:v>44213</x:v>
      </x:c>
      <x:c r="D6" s="38" t="n">
        <x:f t="shared" ref="D6" si="1">C6</x:f>
        <x:v>44213</x:v>
      </x:c>
      <x:c r="E6" s="12"/>
      <x:c r="F6" t="s">
        <x:v>8</x:v>
      </x:c>
      <x:c r="G6" s="11">
        <x:v>44213</x:v>
      </x:c>
    </x:row>
    <x:row r="7">
      <x:c r="A7" s="35"/>
      <x:c r="B7" s="13"/>
      <x:c r="C7" s="14"/>
      <x:c r="D7" s="38"/>
      <x:c r="E7" s="12"/>
      <x:c r="G7"/>
    </x:row>
    <x:row r="8">
      <x:c r="A8" s="35" t="s">
        <x:v>9</x:v>
      </x:c>
      <x:c r="B8" s="16">
        <x:v>0.2883</x:v>
      </x:c>
      <x:c r="C8" s="14" t="n">
        <x:f>ROUND((C5*B8),0)</x:f>
        <x:v>2290</x:v>
      </x:c>
      <x:c r="D8" s="38" t="n">
        <x:f>C8</x:f>
        <x:v>2290</x:v>
      </x:c>
      <x:c r="E8" s="12"/>
      <x:c r="G8" s="15"/>
    </x:row>
    <x:row r="9" ht="15">
      <x:c r="A9" s="35" t="s">
        <x:v>10</x:v>
      </x:c>
      <x:c r="B9" s="16">
        <x:v>0.1145</x:v>
      </x:c>
      <x:c r="C9" s="14" t="n">
        <x:f>ROUND((C6*B9),0)</x:f>
        <x:v>5062</x:v>
      </x:c>
      <x:c r="D9" s="38" t="n">
        <x:f t="shared" ref="D9" si="2">C9</x:f>
        <x:v>5062</x:v>
      </x:c>
      <x:c r="E9" s="12"/>
      <x:c r="F9" s="15"/>
      <x:c r="G9" s="15"/>
    </x:row>
    <x:row r="10" ht="15.600000381469727">
      <x:c r="A10" s="39" t="s">
        <x:v>11</x:v>
      </x:c>
      <x:c r="B10" s="17"/>
      <x:c r="C10" s="18" t="n">
        <x:f>SUM(C4:C9)</x:f>
        <x:v>59509</x:v>
      </x:c>
      <x:c r="D10" s="40" t="n">
        <x:f>C10</x:f>
        <x:v>59509</x:v>
      </x:c>
      <x:c r="E10" s="12"/>
      <x:c r="F10" s="15"/>
      <x:c r="G10" s="15"/>
    </x:row>
    <x:row r="11" ht="15">
      <x:c r="A11" s="41" t="s">
        <x:v>12</x:v>
      </x:c>
      <x:c r="B11" s="7"/>
      <x:c r="C11" s="30">
        <x:v>0</x:v>
      </x:c>
      <x:c r="D11" s="42" t="n">
        <x:f>C11</x:f>
        <x:v>0</x:v>
      </x:c>
      <x:c r="E11" s="12"/>
      <x:c r="F11" s="15"/>
      <x:c r="G11" s="15"/>
    </x:row>
    <x:row r="12">
      <x:c r="A12" s="41" t="s">
        <x:v>13</x:v>
      </x:c>
      <x:c r="B12" s="7"/>
      <x:c r="C12" s="20">
        <x:v>0</x:v>
      </x:c>
      <x:c r="D12" s="42" t="n">
        <x:f>C12</x:f>
        <x:v>0</x:v>
      </x:c>
      <x:c r="E12" s="12"/>
      <x:c r="F12" s="15"/>
      <x:c r="G12" s="15"/>
    </x:row>
    <x:row r="13">
      <x:c r="A13" s="41" t="s">
        <x:v>14</x:v>
      </x:c>
      <x:c r="B13" s="7"/>
      <x:c r="C13" s="14">
        <x:v>0</x:v>
      </x:c>
      <x:c r="D13" s="42" t="n">
        <x:f t="shared" ref="D13:D14" si="3">C13</x:f>
        <x:v>0</x:v>
      </x:c>
      <x:c r="E13" s="12"/>
      <x:c r="F13" s="15"/>
    </x:row>
    <x:row r="14">
      <x:c r="A14" s="41" t="str">
        <x:v>Cloud computing and storage</x:v>
      </x:c>
      <x:c r="B14" s="22"/>
      <x:c r="C14" s="14" t="n">
        <x:v>23999</x:v>
      </x:c>
      <x:c r="D14" s="42" t="n">
        <x:f t="shared" si="3">C14</x:f>
        <x:v>23999</x:v>
      </x:c>
      <x:c r="E14" s="12"/>
      <x:c r="F14" s="15"/>
      <x:c r="G14" s="15"/>
    </x:row>
    <x:row r="15" ht="15">
      <x:c r="A15" s="43" t="s">
        <x:v>15</x:v>
      </x:c>
      <x:c r="B15" s="24">
        <x:v>0.34229999999999999</x:v>
      </x:c>
      <x:c r="C15" s="23" t="n">
        <x:f>ROUND((C6*B15),0)</x:f>
        <x:v>15134</x:v>
      </x:c>
      <x:c r="D15" s="42" t="n">
        <x:f>C15</x:f>
        <x:v>15134</x:v>
      </x:c>
      <x:c r="E15" s="12"/>
      <x:c r="F15" s="15"/>
      <x:c r="G15" s="15"/>
    </x:row>
    <x:row r="16" ht="15.600000381469727" hidden="1">
      <x:c r="A16" s="44" t="s">
        <x:v>16</x:v>
      </x:c>
      <x:c r="B16" s="25"/>
      <x:c r="C16" s="1" t="n">
        <x:f>SUM(C10:C15)</x:f>
        <x:v>98642</x:v>
      </x:c>
      <x:c r="D16" s="45" t="n">
        <x:f>C16</x:f>
        <x:v>98642</x:v>
      </x:c>
      <x:c r="E16" s="12"/>
      <x:c r="F16" s="15"/>
      <x:c r="G16" s="15"/>
    </x:row>
    <x:row r="17" ht="15" hidden="1">
      <x:c r="A17" s="46" t="s">
        <x:v>17</x:v>
      </x:c>
      <x:c r="B17" s="26"/>
      <x:c r="C17" s="20"/>
      <x:c r="D17" s="42"/>
      <x:c r="E17" s="12"/>
      <x:c r="F17" s="15"/>
      <x:c r="G17" s="15"/>
    </x:row>
    <x:row r="18" hidden="1">
      <x:c r="A18" s="35" t="s">
        <x:v>18</x:v>
      </x:c>
      <x:c r="B18" s="7"/>
      <x:c r="C18" s="14">
        <x:v>0</x:v>
      </x:c>
      <x:c r="D18" s="42" t="n">
        <x:f>C18</x:f>
        <x:v>0</x:v>
      </x:c>
      <x:c r="E18" s="12"/>
      <x:c r="F18" s="15"/>
      <x:c r="G18" s="15"/>
    </x:row>
    <x:row r="19" hidden="1">
      <x:c r="A19" s="35" t="s">
        <x:v>18</x:v>
      </x:c>
      <x:c r="B19" s="7"/>
      <x:c r="C19" s="14">
        <x:v>0</x:v>
      </x:c>
      <x:c r="D19" s="42" t="n">
        <x:f>C19</x:f>
        <x:v>0</x:v>
      </x:c>
      <x:c r="E19" s="12"/>
      <x:c r="F19" s="15"/>
      <x:c r="G19" s="15"/>
    </x:row>
    <x:row r="20" ht="15" hidden="1">
      <x:c r="A20" s="43"/>
      <x:c r="B20" s="27"/>
      <x:c r="C20" s="23"/>
      <x:c r="D20" s="42"/>
      <x:c r="E20" s="12"/>
      <x:c r="F20" s="15"/>
      <x:c r="G20" s="15"/>
    </x:row>
    <x:row r="21" ht="15.600000381469727">
      <x:c r="A21" s="44" t="s">
        <x:v>19</x:v>
      </x:c>
      <x:c r="B21" s="28"/>
      <x:c r="C21" s="1" t="n">
        <x:f>SUM(C16:C20)</x:f>
        <x:v>98642</x:v>
      </x:c>
      <x:c r="D21" s="45" t="n">
        <x:f>C21</x:f>
        <x:v>98642</x:v>
      </x:c>
      <x:c r="E21" s="12"/>
      <x:c r="F21" s="15"/>
      <x:c r="G21" s="15"/>
    </x:row>
    <x:row r="22" ht="15">
      <x:c r="A22" s="41" t="s">
        <x:v>20</x:v>
      </x:c>
      <x:c r="B22" s="19"/>
      <x:c r="C22" s="20" t="n">
        <x:f>C21-C19-C18-C15-C11</x:f>
        <x:v>83508</x:v>
      </x:c>
      <x:c r="D22" s="47" t="n">
        <x:f>C22</x:f>
        <x:v>83508</x:v>
      </x:c>
      <x:c r="E22" s="12"/>
      <x:c r="F22" s="15"/>
      <x:c r="G22" s="15"/>
    </x:row>
    <x:row r="23" ht="15">
      <x:c r="A23" s="35" t="s">
        <x:v>21</x:v>
      </x:c>
      <x:c r="B23" s="56">
        <x:v>0.61499999999999999</x:v>
      </x:c>
      <x:c r="C23" s="14" t="n">
        <x:f>ROUND((C22*B23),0)</x:f>
        <x:v>51357</x:v>
      </x:c>
      <x:c r="D23" s="38" t="n">
        <x:f>C23</x:f>
        <x:v>51357</x:v>
      </x:c>
      <x:c r="E23" s="12"/>
      <x:c r="F23" s="15"/>
      <x:c r="G23" s="15"/>
    </x:row>
    <x:row r="24" ht="29.399999618530273" hidden="1">
      <x:c r="A24" s="48" t="s">
        <x:v>22</x:v>
      </x:c>
      <x:c r="B24" s="7"/>
      <x:c r="C24" s="14">
        <x:v>0</x:v>
      </x:c>
      <x:c r="D24" s="49" t="n">
        <x:f>C24</x:f>
        <x:v>0</x:v>
      </x:c>
      <x:c r="E24" s="12"/>
      <x:c r="F24" s="15"/>
      <x:c r="G24" s="15"/>
    </x:row>
    <x:row r="25" ht="15">
      <x:c r="A25" s="50" t="s">
        <x:v>23</x:v>
      </x:c>
      <x:c r="B25" s="51"/>
      <x:c r="C25" s="52" t="n">
        <x:f>C21+C23+C24</x:f>
        <x:v>149999</x:v>
      </x:c>
      <x:c r="D25" s="53" t="n">
        <x:f>C25</x:f>
        <x:v>149999</x:v>
      </x:c>
      <x:c r="E25" s="2"/>
      <x:c r="F25" s="15"/>
      <x:c r="G25" s="15"/>
    </x:row>
    <x:row r="26">
      <x:c r="F26" s="15"/>
      <x:c r="G26" s="15"/>
    </x:row>
    <x:row r="27">
      <x:c r="F27" s="15"/>
      <x:c r="G27" s="15"/>
    </x:row>
    <x:row r="28">
      <x:c r="F28" s="15"/>
      <x:c r="G28" s="15"/>
    </x:row>
    <x:row r="29">
      <x:c r="F29" s="15"/>
      <x:c r="G29" s="15"/>
    </x:row>
    <x:row r="30">
      <x:c r="F30" s="15"/>
      <x:c r="G30" s="15"/>
    </x:row>
    <x:row r="31">
      <x:c r="F31" s="15"/>
      <x:c r="G31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8671875" defaultRowHeight="14.399999618530273"/>
  <x:cols>
    <x:col min="1" max="1" width="8.33203125" customWidth="1"/>
    <x:col min="2" max="6" width="13.88671875" customWidth="1"/>
    <x:col min="7" max="7" width="10.44140625" customWidth="1"/>
    <x:col min="8" max="8" width="12.44140625" customWidth="1"/>
    <x:col min="9" max="10" width="15.44140625" customWidth="1"/>
    <x:col min="11" max="11" width="13.44140625" customWidth="1"/>
  </x:cols>
  <x:sheetData>
    <x:row r="1">
      <x:c r="A1" t="s">
        <x:v>24</x:v>
      </x:c>
    </x:row>
    <x:row r="2">
      <x:c r="B2" s="61" t="s">
        <x:v>25</x:v>
      </x:c>
      <x:c r="C2" t="s">
        <x:v>26</x:v>
      </x:c>
      <x:c r="D2" t="s">
        <x:v>27</x:v>
      </x:c>
      <x:c r="E2" t="s">
        <x:v>28</x:v>
      </x:c>
      <x:c r="F2" t="s">
        <x:v>29</x:v>
      </x:c>
    </x:row>
    <x:row r="3">
      <x:c r="A3">
        <x:v>42500</x:v>
      </x:c>
      <x:c r="B3" s="64" t="n">
        <x:f>A3*1.03</x:f>
        <x:v>43775</x:v>
      </x:c>
      <x:c r="C3" s="60" t="n">
        <x:f>B3*1.03</x:f>
        <x:v>45088.25</x:v>
      </x:c>
      <x:c r="D3" s="60" t="n">
        <x:f t="shared" ref="D3:F3" si="0">C3*1.03</x:f>
        <x:v>46440.8975</x:v>
      </x:c>
      <x:c r="E3" s="60" t="n">
        <x:f t="shared" si="0">D3*1.03</x:f>
        <x:v>47834.124425</x:v>
      </x:c>
      <x:c r="F3" s="60" t="n">
        <x:f t="shared" si="0">E3*1.03</x:f>
        <x:v>49269.14815775</x:v>
      </x:c>
    </x:row>
    <x:row r="4">
      <x:c r="B4" s="58"/>
      <x:c r="C4" s="58"/>
      <x:c r="D4" s="58"/>
      <x:c r="E4" s="58"/>
      <x:c r="F4" s="58"/>
    </x:row>
    <x:row r="6">
      <x:c r="A6" s="61" t="s">
        <x:v>30</x:v>
      </x:c>
      <x:c r="F6" s="57"/>
    </x:row>
    <x:row r="7">
      <x:c r="B7" s="61" t="s">
        <x:v>25</x:v>
      </x:c>
      <x:c r="C7" t="s">
        <x:v>31</x:v>
      </x:c>
      <x:c r="D7" t="s">
        <x:v>32</x:v>
      </x:c>
      <x:c r="E7" t="s">
        <x:v>33</x:v>
      </x:c>
      <x:c r="F7" t="s">
        <x:v>34</x:v>
      </x:c>
    </x:row>
    <x:row r="8">
      <x:c r="B8" s="65">
        <x:v>0.34</x:v>
      </x:c>
      <x:c r="C8" s="59" t="n">
        <x:f>B8+0.007</x:f>
        <x:v>0.34700000000000003</x:v>
      </x:c>
      <x:c r="D8" s="59" t="n">
        <x:f t="shared" ref="D8:F8" si="1">C8+0.007</x:f>
        <x:v>0.35400000000000004</x:v>
      </x:c>
      <x:c r="E8" s="59" t="n">
        <x:f t="shared" si="1">D8+0.007</x:f>
        <x:v>0.36100000000000004</x:v>
      </x:c>
      <x:c r="F8" s="59" t="n">
        <x:f t="shared" si="1">E8+0.007</x:f>
        <x:v>0.36800000000000005</x:v>
      </x:c>
    </x:row>
    <x:row r="10">
      <x:c r="B10" t="n">
        <x:f>ROUND(((B3/12)*8)+((C3/12)*4),0)</x:f>
        <x:v>44213</x:v>
      </x:c>
    </x:row>
    <x:row r="11">
      <x:c r="B11" t="n">
        <x:f>ROUND(((B8/12)*8)+((C8/12)*4),4)</x:f>
        <x:v>0.3423</x:v>
      </x:c>
      <x:c r="C11" s="62"/>
      <x:c r="D11" s="62"/>
      <x:c r="E11" s="62"/>
    </x:row>
    <x:row r="12">
      <x:c r="B12" s="63"/>
      <x:c r="C12" s="63"/>
      <x:c r="D12" s="63"/>
      <x:c r="E12" s="63"/>
    </x:row>
    <x:row r="14">
      <x:c r="G14" s="58"/>
      <x:c r="H14" s="58"/>
      <x:c r="I14" s="58"/>
      <x:c r="J14" s="58"/>
      <x:c r="K14" s="58"/>
    </x:row>
  </x:sheetData>
  <x:pageMargins left="0.7" right="0.7" top="0.75" bottom="0.75" header="0.3" footer="0.3"/>
</x:worksheet>
</file>