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Z:\ECE Staff\1. Sponsored and nonsponsored projects\Cheng, Xiang\2. Proposals\Samsung Sept 2026 SPS 314602\"/>
    </mc:Choice>
  </mc:AlternateContent>
  <xr:revisionPtr revIDLastSave="0" documentId="13_ncr:1_{511AEA83-26DA-403D-8B18-C51AEC4543F2}" xr6:coauthVersionLast="47" xr6:coauthVersionMax="47" xr10:uidLastSave="{00000000-0000-0000-0000-000000000000}"/>
  <bookViews>
    <workbookView xWindow="20052" yWindow="-108" windowWidth="20376" windowHeight="12096" xr2:uid="{00000000-000D-0000-FFFF-FFFF00000000}"/>
  </bookViews>
  <sheets>
    <sheet name="Budget" sheetId="4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4" l="1"/>
  <c r="C5" i="4"/>
  <c r="D11" i="4"/>
  <c r="B11" i="5"/>
  <c r="B10" i="5"/>
  <c r="C8" i="5"/>
  <c r="D8" i="5" s="1"/>
  <c r="E8" i="5" s="1"/>
  <c r="F8" i="5" s="1"/>
  <c r="B3" i="5"/>
  <c r="C3" i="5" s="1"/>
  <c r="D3" i="5" s="1"/>
  <c r="E3" i="5" s="1"/>
  <c r="F3" i="5" s="1"/>
  <c r="D24" i="4" l="1"/>
  <c r="D19" i="4" l="1"/>
  <c r="D18" i="4"/>
  <c r="D13" i="4"/>
  <c r="D14" i="4"/>
  <c r="D12" i="4"/>
  <c r="C6" i="4"/>
  <c r="D6" i="4" l="1"/>
  <c r="C9" i="4"/>
  <c r="D9" i="4" s="1"/>
  <c r="D5" i="4" l="1"/>
  <c r="C8" i="4" l="1"/>
  <c r="D8" i="4" s="1"/>
  <c r="D15" i="4"/>
  <c r="C10" i="4" l="1"/>
  <c r="D10" i="4" s="1"/>
  <c r="C16" i="4" l="1"/>
  <c r="C21" i="4" l="1"/>
  <c r="C22" i="4" s="1"/>
  <c r="D16" i="4"/>
  <c r="D21" i="4" l="1"/>
  <c r="D22" i="4"/>
  <c r="C23" i="4" l="1"/>
  <c r="D23" i="4" s="1"/>
  <c r="C25" i="4" l="1"/>
  <c r="D25" i="4" s="1"/>
</calcChain>
</file>

<file path=xl/sharedStrings.xml><?xml version="1.0" encoding="utf-8"?>
<sst xmlns="http://schemas.openxmlformats.org/spreadsheetml/2006/main" count="40" uniqueCount="36">
  <si>
    <t>Project  Period  1</t>
  </si>
  <si>
    <t>Total</t>
  </si>
  <si>
    <t>Salary</t>
  </si>
  <si>
    <t>GRA</t>
  </si>
  <si>
    <t>TOTAL SALARY AND FRINGE</t>
  </si>
  <si>
    <t>Tuition Remission</t>
  </si>
  <si>
    <t>Duke Direct Cost Total</t>
  </si>
  <si>
    <t>Subcontracts</t>
  </si>
  <si>
    <t>N/A</t>
  </si>
  <si>
    <t>Total Direct Cost</t>
  </si>
  <si>
    <t>MTDC</t>
  </si>
  <si>
    <t>IDC</t>
  </si>
  <si>
    <t>TOTAL Direct and IDC</t>
  </si>
  <si>
    <t>12 months</t>
  </si>
  <si>
    <t>Fringe - GRA</t>
  </si>
  <si>
    <t>Travel</t>
  </si>
  <si>
    <t>Supplies</t>
  </si>
  <si>
    <t>Equipment</t>
  </si>
  <si>
    <t xml:space="preserve">TBN Graduate Student </t>
  </si>
  <si>
    <t>7/1/26-6/30/27</t>
  </si>
  <si>
    <t>9/1/26-8/31/27</t>
  </si>
  <si>
    <t>9/1/27-8/31/28</t>
  </si>
  <si>
    <t>9/1/28-8/31/29</t>
  </si>
  <si>
    <t>GRA Stipends (8/1 rate change)</t>
  </si>
  <si>
    <t>8/1/27-7/31/28</t>
  </si>
  <si>
    <t>8/1/28-7/31/29</t>
  </si>
  <si>
    <t>8/1/29-7/31/30</t>
  </si>
  <si>
    <t>8/1/30-7/31/31</t>
  </si>
  <si>
    <t>GRA Tuition  (9/1 rate change)</t>
  </si>
  <si>
    <t>9/1/29-8/31/30</t>
  </si>
  <si>
    <t>9/1/30-8/31/31</t>
  </si>
  <si>
    <t>XC</t>
  </si>
  <si>
    <t>Xiang Cheng</t>
  </si>
  <si>
    <t>Fringe - XC</t>
  </si>
  <si>
    <t>DUKE IDC on First 50K for each Sub, Part of Duke's Total Costs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</si>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</sst>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\$#,##0\ ;&quot;($&quot;#,##0\)"/>
    <numFmt numFmtId="165" formatCode="0.0%"/>
    <numFmt numFmtId="166" formatCode="_(* #,##0_);_(* \(#,##0\);_(* &quot;-&quot;??_);_(@_)"/>
    <numFmt numFmtId="167" formatCode="_(* #,##0.000_);_(* \(#,##0.0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dashed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 style="dashed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/>
      <diagonal/>
    </border>
    <border>
      <left style="thin">
        <color indexed="64"/>
      </left>
      <right style="dashed">
        <color theme="0" tint="-0.34998626667073579"/>
      </right>
      <top style="thin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indexed="64"/>
      </top>
      <bottom style="dashed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indexed="64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thin">
        <color indexed="64"/>
      </left>
      <right style="dashed">
        <color theme="0" tint="-0.34998626667073579"/>
      </right>
      <top style="double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ouble">
        <color theme="0" tint="-0.34998626667073579"/>
      </top>
      <bottom style="thin">
        <color indexed="64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6">
    <xf numFmtId="0" fontId="0" fillId="0" borderId="0" xfId="0"/>
    <xf numFmtId="4" fontId="1" fillId="0" borderId="6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1" xfId="0" applyFont="1" applyBorder="1"/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0" fillId="0" borderId="3" xfId="0" applyNumberFormat="1" applyBorder="1" applyAlignment="1">
      <alignment horizontal="center" wrapText="1"/>
    </xf>
    <xf numFmtId="4" fontId="2" fillId="2" borderId="4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2" fillId="2" borderId="3" xfId="0" applyNumberFormat="1" applyFont="1" applyFill="1" applyBorder="1" applyAlignment="1">
      <alignment horizontal="left"/>
    </xf>
    <xf numFmtId="4" fontId="0" fillId="0" borderId="3" xfId="0" applyNumberFormat="1" applyBorder="1" applyAlignment="1">
      <alignment horizontal="center"/>
    </xf>
    <xf numFmtId="2" fontId="0" fillId="0" borderId="0" xfId="0" applyNumberFormat="1"/>
    <xf numFmtId="10" fontId="2" fillId="2" borderId="3" xfId="0" applyNumberFormat="1" applyFont="1" applyFill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7" xfId="0" applyNumberFormat="1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0" borderId="11" xfId="0" applyBorder="1"/>
    <xf numFmtId="0" fontId="0" fillId="3" borderId="12" xfId="0" applyFill="1" applyBorder="1" applyAlignment="1">
      <alignment horizontal="center" wrapText="1"/>
    </xf>
    <xf numFmtId="0" fontId="0" fillId="0" borderId="11" xfId="0" applyBorder="1" applyAlignment="1">
      <alignment horizontal="left"/>
    </xf>
    <xf numFmtId="4" fontId="0" fillId="3" borderId="12" xfId="0" applyNumberFormat="1" applyFill="1" applyBorder="1" applyAlignment="1">
      <alignment horizontal="center" wrapText="1"/>
    </xf>
    <xf numFmtId="0" fontId="0" fillId="0" borderId="13" xfId="0" applyBorder="1"/>
    <xf numFmtId="4" fontId="0" fillId="3" borderId="14" xfId="0" applyNumberFormat="1" applyFill="1" applyBorder="1" applyAlignment="1">
      <alignment horizontal="center" wrapText="1"/>
    </xf>
    <xf numFmtId="0" fontId="0" fillId="0" borderId="15" xfId="0" applyBorder="1"/>
    <xf numFmtId="4" fontId="0" fillId="3" borderId="16" xfId="0" applyNumberFormat="1" applyFill="1" applyBorder="1" applyAlignment="1">
      <alignment horizontal="center"/>
    </xf>
    <xf numFmtId="0" fontId="0" fillId="0" borderId="17" xfId="0" applyBorder="1"/>
    <xf numFmtId="0" fontId="1" fillId="0" borderId="13" xfId="0" applyFont="1" applyBorder="1"/>
    <xf numFmtId="4" fontId="1" fillId="3" borderId="14" xfId="0" applyNumberFormat="1" applyFont="1" applyFill="1" applyBorder="1" applyAlignment="1">
      <alignment horizontal="center" wrapText="1"/>
    </xf>
    <xf numFmtId="0" fontId="4" fillId="0" borderId="15" xfId="0" applyFont="1" applyBorder="1"/>
    <xf numFmtId="4" fontId="0" fillId="3" borderId="16" xfId="0" applyNumberForma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4" fontId="0" fillId="3" borderId="12" xfId="0" applyNumberFormat="1" applyFill="1" applyBorder="1" applyAlignment="1">
      <alignment horizontal="center"/>
    </xf>
    <xf numFmtId="0" fontId="1" fillId="3" borderId="18" xfId="0" applyFont="1" applyFill="1" applyBorder="1"/>
    <xf numFmtId="10" fontId="3" fillId="3" borderId="19" xfId="0" applyNumberFormat="1" applyFont="1" applyFill="1" applyBorder="1"/>
    <xf numFmtId="4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165" fontId="2" fillId="2" borderId="3" xfId="0" applyNumberFormat="1" applyFont="1" applyFill="1" applyBorder="1" applyAlignment="1">
      <alignment horizontal="center"/>
    </xf>
    <xf numFmtId="0" fontId="1" fillId="0" borderId="0" xfId="0" applyFont="1"/>
    <xf numFmtId="43" fontId="0" fillId="0" borderId="0" xfId="1" applyFont="1"/>
    <xf numFmtId="10" fontId="0" fillId="0" borderId="0" xfId="2" applyNumberFormat="1" applyFont="1"/>
    <xf numFmtId="166" fontId="0" fillId="0" borderId="0" xfId="1" applyNumberFormat="1" applyFont="1"/>
    <xf numFmtId="0" fontId="5" fillId="0" borderId="0" xfId="0" applyFont="1"/>
    <xf numFmtId="166" fontId="0" fillId="0" borderId="0" xfId="0" applyNumberFormat="1"/>
    <xf numFmtId="167" fontId="0" fillId="0" borderId="0" xfId="0" applyNumberFormat="1"/>
    <xf numFmtId="166" fontId="5" fillId="0" borderId="0" xfId="1" applyNumberFormat="1" applyFont="1"/>
    <xf numFmtId="10" fontId="5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/>
  </sheetViews>
  <sheetFormatPr defaultColWidth="8.88671875" defaultRowHeight="14.4" x14ac:dyDescent="0.3"/>
  <cols>
    <col min="1" max="1" width="30.109375" bestFit="1" customWidth="1"/>
    <col min="2" max="2" width="7.44140625" style="21" bestFit="1" customWidth="1"/>
    <col min="3" max="3" width="16" bestFit="1" customWidth="1"/>
    <col min="4" max="4" width="14.33203125" style="29" customWidth="1"/>
    <col min="5" max="5" width="11.109375" customWidth="1"/>
    <col min="6" max="6" width="4.6640625" bestFit="1" customWidth="1"/>
    <col min="7" max="7" width="10.33203125" style="21" bestFit="1" customWidth="1"/>
  </cols>
  <sheetData>
    <row r="1" spans="1:7" x14ac:dyDescent="0.3">
      <c r="A1" s="31"/>
      <c r="B1" s="32"/>
      <c r="C1" s="33" t="s">
        <v>0</v>
      </c>
      <c r="D1" s="34" t="s">
        <v>1</v>
      </c>
      <c r="G1" s="3"/>
    </row>
    <row r="2" spans="1:7" x14ac:dyDescent="0.3">
      <c r="A2" s="35"/>
      <c r="B2" s="5"/>
      <c r="C2" s="4" t="s">
        <v>13</v>
      </c>
      <c r="D2" s="36" t="s">
        <v>13</v>
      </c>
      <c r="G2" s="3"/>
    </row>
    <row r="3" spans="1:7" x14ac:dyDescent="0.3">
      <c r="A3" s="35"/>
      <c r="B3" s="5"/>
      <c r="C3" s="54" t="s">
        <v>19</v>
      </c>
      <c r="D3" s="55" t="s">
        <v>19</v>
      </c>
      <c r="G3" s="6"/>
    </row>
    <row r="4" spans="1:7" x14ac:dyDescent="0.3">
      <c r="A4" s="37" t="s">
        <v>2</v>
      </c>
      <c r="B4" s="7"/>
      <c r="C4" s="4"/>
      <c r="D4" s="36"/>
      <c r="G4" s="8"/>
    </row>
    <row r="5" spans="1:7" x14ac:dyDescent="0.3">
      <c r="A5" s="37" t="s">
        <v>32</v>
      </c>
      <c r="B5" s="9">
        <v>1.5</v>
      </c>
      <c r="C5" s="10">
        <f>ROUND((G5/9*B5),0)</f>
        <v>23833</v>
      </c>
      <c r="D5" s="38">
        <f>C5</f>
        <v>23833</v>
      </c>
      <c r="F5" t="s">
        <v>31</v>
      </c>
      <c r="G5" s="11">
        <v>143000</v>
      </c>
    </row>
    <row r="6" spans="1:7" x14ac:dyDescent="0.3">
      <c r="A6" s="35" t="s">
        <v>18</v>
      </c>
      <c r="B6" s="9">
        <v>12</v>
      </c>
      <c r="C6" s="10">
        <f t="shared" ref="C6" si="0">ROUND((G6/12*B6),0)</f>
        <v>44213</v>
      </c>
      <c r="D6" s="38">
        <f t="shared" ref="D6" si="1">C6</f>
        <v>44213</v>
      </c>
      <c r="E6" s="12"/>
      <c r="F6" t="s">
        <v>3</v>
      </c>
      <c r="G6" s="11">
        <v>44213</v>
      </c>
    </row>
    <row r="7" spans="1:7" x14ac:dyDescent="0.3">
      <c r="A7" s="35"/>
      <c r="B7" s="13"/>
      <c r="C7" s="14"/>
      <c r="D7" s="38"/>
      <c r="E7" s="12"/>
      <c r="G7"/>
    </row>
    <row r="8" spans="1:7" x14ac:dyDescent="0.3">
      <c r="A8" s="35" t="s">
        <v>33</v>
      </c>
      <c r="B8" s="16">
        <v>0.2883</v>
      </c>
      <c r="C8" s="14">
        <f>ROUND((C5*B8),0)</f>
        <v>6871</v>
      </c>
      <c r="D8" s="38">
        <f>C8</f>
        <v>6871</v>
      </c>
      <c r="E8" s="12"/>
      <c r="G8" s="15"/>
    </row>
    <row r="9" spans="1:7" ht="15" thickBot="1" x14ac:dyDescent="0.35">
      <c r="A9" s="35" t="s">
        <v>14</v>
      </c>
      <c r="B9" s="16">
        <v>0.1145</v>
      </c>
      <c r="C9" s="14">
        <f>ROUND((C6*B9),0)</f>
        <v>5062</v>
      </c>
      <c r="D9" s="38">
        <f t="shared" ref="D9" si="2">C9</f>
        <v>5062</v>
      </c>
      <c r="E9" s="12"/>
      <c r="F9" s="15"/>
      <c r="G9" s="15"/>
    </row>
    <row r="10" spans="1:7" ht="15.6" thickTop="1" thickBot="1" x14ac:dyDescent="0.35">
      <c r="A10" s="39" t="s">
        <v>4</v>
      </c>
      <c r="B10" s="17"/>
      <c r="C10" s="18">
        <f>SUM(C4:C9)</f>
        <v>79979</v>
      </c>
      <c r="D10" s="40">
        <f>C10</f>
        <v>79979</v>
      </c>
      <c r="E10" s="12"/>
      <c r="F10" s="15"/>
      <c r="G10" s="15"/>
    </row>
    <row r="11" spans="1:7" ht="15" thickTop="1" x14ac:dyDescent="0.3">
      <c r="A11" s="41" t="s">
        <v>17</v>
      </c>
      <c r="B11" s="7"/>
      <c r="C11" s="30">
        <v>0</v>
      </c>
      <c r="D11" s="42">
        <f>C11</f>
        <v>0</v>
      </c>
      <c r="E11" s="12"/>
      <c r="F11" s="15"/>
      <c r="G11" s="15"/>
    </row>
    <row r="12" spans="1:7" x14ac:dyDescent="0.3">
      <c r="A12" s="41" t="s">
        <v>16</v>
      </c>
      <c r="B12" s="7"/>
      <c r="C12" s="20">
        <v>0</v>
      </c>
      <c r="D12" s="42">
        <f>C12</f>
        <v>0</v>
      </c>
      <c r="E12" s="12"/>
      <c r="F12" s="15"/>
      <c r="G12" s="15"/>
    </row>
    <row r="13" spans="1:7" x14ac:dyDescent="0.3">
      <c r="A13" s="41" t="s">
        <v>15</v>
      </c>
      <c r="B13" s="7"/>
      <c r="C13" s="14">
        <v>0</v>
      </c>
      <c r="D13" s="42">
        <f t="shared" ref="D13:D14" si="3">C13</f>
        <v>0</v>
      </c>
      <c r="E13" s="12"/>
      <c r="F13" s="15"/>
    </row>
    <row r="14" spans="1:7" x14ac:dyDescent="0.3">
      <c r="A14" s="41" t="s">
        <v>35</v>
      </c>
      <c r="B14" s="22"/>
      <c r="C14" s="14">
        <v>0</v>
      </c>
      <c r="D14" s="42">
        <f t="shared" si="3"/>
        <v>0</v>
      </c>
      <c r="E14" s="12"/>
      <c r="F14" s="15"/>
      <c r="G14" s="15"/>
    </row>
    <row r="15" spans="1:7" ht="15" thickBot="1" x14ac:dyDescent="0.35">
      <c r="A15" s="43" t="s">
        <v>5</v>
      </c>
      <c r="B15" s="24">
        <v>0.34229999999999999</v>
      </c>
      <c r="C15" s="23">
        <f>ROUND((C6*B15),0)</f>
        <v>15134</v>
      </c>
      <c r="D15" s="42">
        <f>C15</f>
        <v>15134</v>
      </c>
      <c r="E15" s="12"/>
      <c r="F15" s="15"/>
      <c r="G15" s="15"/>
    </row>
    <row r="16" spans="1:7" ht="15.6" hidden="1" thickTop="1" thickBot="1" x14ac:dyDescent="0.35">
      <c r="A16" s="44" t="s">
        <v>6</v>
      </c>
      <c r="B16" s="25"/>
      <c r="C16" s="1">
        <f>SUM(C10:C15)</f>
        <v>95113</v>
      </c>
      <c r="D16" s="45">
        <f>C16</f>
        <v>95113</v>
      </c>
      <c r="E16" s="12"/>
      <c r="F16" s="15"/>
      <c r="G16" s="15"/>
    </row>
    <row r="17" spans="1:7" ht="15" hidden="1" thickTop="1" x14ac:dyDescent="0.3">
      <c r="A17" s="46" t="s">
        <v>7</v>
      </c>
      <c r="B17" s="26"/>
      <c r="C17" s="20"/>
      <c r="D17" s="42"/>
      <c r="E17" s="12"/>
      <c r="F17" s="15"/>
      <c r="G17" s="15"/>
    </row>
    <row r="18" spans="1:7" hidden="1" x14ac:dyDescent="0.3">
      <c r="A18" s="35" t="s">
        <v>8</v>
      </c>
      <c r="B18" s="7"/>
      <c r="C18" s="14">
        <v>0</v>
      </c>
      <c r="D18" s="42">
        <f>C18</f>
        <v>0</v>
      </c>
      <c r="E18" s="12"/>
      <c r="F18" s="15"/>
      <c r="G18" s="15"/>
    </row>
    <row r="19" spans="1:7" hidden="1" x14ac:dyDescent="0.3">
      <c r="A19" s="35" t="s">
        <v>8</v>
      </c>
      <c r="B19" s="7"/>
      <c r="C19" s="14">
        <v>0</v>
      </c>
      <c r="D19" s="42">
        <f>C19</f>
        <v>0</v>
      </c>
      <c r="E19" s="12"/>
      <c r="F19" s="15"/>
      <c r="G19" s="15"/>
    </row>
    <row r="20" spans="1:7" ht="15" hidden="1" thickBot="1" x14ac:dyDescent="0.35">
      <c r="A20" s="43"/>
      <c r="B20" s="27"/>
      <c r="C20" s="23"/>
      <c r="D20" s="42"/>
      <c r="E20" s="12"/>
      <c r="F20" s="15"/>
      <c r="G20" s="15"/>
    </row>
    <row r="21" spans="1:7" ht="15.6" thickTop="1" thickBot="1" x14ac:dyDescent="0.35">
      <c r="A21" s="44" t="s">
        <v>9</v>
      </c>
      <c r="B21" s="28"/>
      <c r="C21" s="1">
        <f>SUM(C16:C20)</f>
        <v>95113</v>
      </c>
      <c r="D21" s="45">
        <f>C21</f>
        <v>95113</v>
      </c>
      <c r="E21" s="12"/>
      <c r="F21" s="15"/>
      <c r="G21" s="15"/>
    </row>
    <row r="22" spans="1:7" ht="15" thickTop="1" x14ac:dyDescent="0.3">
      <c r="A22" s="41" t="s">
        <v>10</v>
      </c>
      <c r="B22" s="19"/>
      <c r="C22" s="20">
        <f>C21-C19-C18-C15-C11</f>
        <v>79979</v>
      </c>
      <c r="D22" s="47">
        <f>C22</f>
        <v>79979</v>
      </c>
      <c r="E22" s="12"/>
      <c r="F22" s="15"/>
      <c r="G22" s="15"/>
    </row>
    <row r="23" spans="1:7" ht="15" thickBot="1" x14ac:dyDescent="0.35">
      <c r="A23" s="35" t="s">
        <v>11</v>
      </c>
      <c r="B23" s="56">
        <v>0.61499999999999999</v>
      </c>
      <c r="C23" s="14">
        <f>ROUND((C22*B23),0)</f>
        <v>49187</v>
      </c>
      <c r="D23" s="38">
        <f>C23</f>
        <v>49187</v>
      </c>
      <c r="E23" s="12"/>
      <c r="F23" s="15"/>
      <c r="G23" s="15"/>
    </row>
    <row r="24" spans="1:7" ht="29.4" hidden="1" thickBot="1" x14ac:dyDescent="0.35">
      <c r="A24" s="48" t="s">
        <v>34</v>
      </c>
      <c r="B24" s="7"/>
      <c r="C24" s="14">
        <v>0</v>
      </c>
      <c r="D24" s="49">
        <f>C24</f>
        <v>0</v>
      </c>
      <c r="E24" s="12"/>
      <c r="F24" s="15"/>
      <c r="G24" s="15"/>
    </row>
    <row r="25" spans="1:7" ht="15" thickTop="1" x14ac:dyDescent="0.3">
      <c r="A25" s="50" t="s">
        <v>12</v>
      </c>
      <c r="B25" s="51"/>
      <c r="C25" s="52">
        <f>C21+C23+C24</f>
        <v>144300</v>
      </c>
      <c r="D25" s="53">
        <f>C25</f>
        <v>144300</v>
      </c>
      <c r="E25" s="2"/>
      <c r="F25" s="15"/>
      <c r="G25" s="15"/>
    </row>
    <row r="26" spans="1:7" x14ac:dyDescent="0.3">
      <c r="F26" s="15"/>
      <c r="G26" s="15"/>
    </row>
    <row r="27" spans="1:7" x14ac:dyDescent="0.3">
      <c r="F27" s="15"/>
      <c r="G27" s="15"/>
    </row>
    <row r="28" spans="1:7" x14ac:dyDescent="0.3">
      <c r="F28" s="15"/>
      <c r="G28" s="15"/>
    </row>
    <row r="29" spans="1:7" x14ac:dyDescent="0.3">
      <c r="F29" s="15"/>
      <c r="G29" s="15"/>
    </row>
    <row r="30" spans="1:7" x14ac:dyDescent="0.3">
      <c r="F30" s="15"/>
      <c r="G30" s="15"/>
    </row>
    <row r="31" spans="1:7" x14ac:dyDescent="0.3">
      <c r="F31" s="15"/>
      <c r="G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ColWidth="8.88671875" defaultRowHeight="14.4" x14ac:dyDescent="0.3"/>
  <cols>
    <col min="1" max="1" width="8.33203125" customWidth="1"/>
    <col min="2" max="6" width="13.88671875" bestFit="1" customWidth="1"/>
    <col min="7" max="7" width="10.44140625" bestFit="1" customWidth="1"/>
    <col min="8" max="8" width="12.44140625" customWidth="1"/>
    <col min="9" max="10" width="15.44140625" customWidth="1"/>
    <col min="11" max="11" width="13.44140625" customWidth="1"/>
  </cols>
  <sheetData>
    <row r="1" spans="1:11" x14ac:dyDescent="0.3">
      <c r="A1" t="s">
        <v>23</v>
      </c>
    </row>
    <row r="2" spans="1:11" x14ac:dyDescent="0.3">
      <c r="B2" s="61" t="s">
        <v>20</v>
      </c>
      <c r="C2" t="s">
        <v>24</v>
      </c>
      <c r="D2" t="s">
        <v>25</v>
      </c>
      <c r="E2" t="s">
        <v>26</v>
      </c>
      <c r="F2" t="s">
        <v>27</v>
      </c>
    </row>
    <row r="3" spans="1:11" x14ac:dyDescent="0.3">
      <c r="A3">
        <v>42500</v>
      </c>
      <c r="B3" s="64">
        <f>A3*1.03</f>
        <v>43775</v>
      </c>
      <c r="C3" s="60">
        <f>B3*1.03</f>
        <v>45088.25</v>
      </c>
      <c r="D3" s="60">
        <f t="shared" ref="D3:F3" si="0">C3*1.03</f>
        <v>46440.897499999999</v>
      </c>
      <c r="E3" s="60">
        <f t="shared" si="0"/>
        <v>47834.124425000002</v>
      </c>
      <c r="F3" s="60">
        <f t="shared" si="0"/>
        <v>49269.148157750002</v>
      </c>
    </row>
    <row r="4" spans="1:11" x14ac:dyDescent="0.3">
      <c r="B4" s="58"/>
      <c r="C4" s="58"/>
      <c r="D4" s="58"/>
      <c r="E4" s="58"/>
      <c r="F4" s="58"/>
    </row>
    <row r="6" spans="1:11" x14ac:dyDescent="0.3">
      <c r="A6" s="61" t="s">
        <v>28</v>
      </c>
      <c r="F6" s="57"/>
    </row>
    <row r="7" spans="1:11" x14ac:dyDescent="0.3">
      <c r="B7" s="61" t="s">
        <v>20</v>
      </c>
      <c r="C7" t="s">
        <v>21</v>
      </c>
      <c r="D7" t="s">
        <v>22</v>
      </c>
      <c r="E7" t="s">
        <v>29</v>
      </c>
      <c r="F7" t="s">
        <v>30</v>
      </c>
    </row>
    <row r="8" spans="1:11" x14ac:dyDescent="0.3">
      <c r="B8" s="65">
        <v>0.34</v>
      </c>
      <c r="C8" s="59">
        <f>B8+0.007</f>
        <v>0.34700000000000003</v>
      </c>
      <c r="D8" s="59">
        <f t="shared" ref="D8:F8" si="1">C8+0.007</f>
        <v>0.35400000000000004</v>
      </c>
      <c r="E8" s="59">
        <f t="shared" si="1"/>
        <v>0.36100000000000004</v>
      </c>
      <c r="F8" s="59">
        <f t="shared" si="1"/>
        <v>0.36800000000000005</v>
      </c>
    </row>
    <row r="10" spans="1:11" x14ac:dyDescent="0.3">
      <c r="B10">
        <f>ROUND(((B3/12)*8)+((C3/12)*4),0)</f>
        <v>44213</v>
      </c>
    </row>
    <row r="11" spans="1:11" x14ac:dyDescent="0.3">
      <c r="B11">
        <f>ROUND(((B8/12)*8)+((C8/12)*4),4)</f>
        <v>0.34229999999999999</v>
      </c>
      <c r="C11" s="62"/>
      <c r="D11" s="62"/>
      <c r="E11" s="62"/>
    </row>
    <row r="12" spans="1:11" x14ac:dyDescent="0.3">
      <c r="B12" s="63"/>
      <c r="C12" s="63"/>
      <c r="D12" s="63"/>
      <c r="E12" s="63"/>
    </row>
    <row r="14" spans="1:11" x14ac:dyDescent="0.3">
      <c r="G14" s="58"/>
      <c r="H14" s="58"/>
      <c r="I14" s="58"/>
      <c r="J14" s="58"/>
      <c r="K14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kc82</dc:creator>
  <cp:lastModifiedBy>Natasha Dawson</cp:lastModifiedBy>
  <cp:lastPrinted>2016-05-13T15:24:53Z</cp:lastPrinted>
  <dcterms:created xsi:type="dcterms:W3CDTF">2015-11-09T23:00:18Z</dcterms:created>
  <dcterms:modified xsi:type="dcterms:W3CDTF">2026-08-24T18:34:21Z</dcterms:modified>
</cp:coreProperties>
</file>